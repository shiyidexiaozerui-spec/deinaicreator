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总表" sheetId="1" state="visible" r:id="rId1"/>
    <sheet xmlns:r="http://schemas.openxmlformats.org/officeDocument/2006/relationships" name="进度概览" sheetId="2" state="visible" r:id="rId2"/>
    <sheet xmlns:r="http://schemas.openxmlformats.org/officeDocument/2006/relationships" name="图例 · 说明" sheetId="3" state="visible" r:id="rId3"/>
  </sheets>
  <definedNames>
    <definedName name="_xlnm._FilterDatabase" localSheetId="0" hidden="1">'采购总表'!$A$1:$L$47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8A5A"/>
      <sz val="10"/>
    </font>
    <font>
      <name val="Arial"/>
      <color rgb="002F3471"/>
      <sz val="10"/>
      <u val="single"/>
    </font>
    <font>
      <name val="Arial"/>
      <b val="1"/>
      <color rgb="009A9AA2"/>
      <sz val="10"/>
    </font>
    <font>
      <name val="Arial"/>
      <b val="1"/>
      <color rgb="00141414"/>
      <sz val="14"/>
    </font>
    <font>
      <name val="Arial"/>
      <b val="1"/>
      <sz val="11"/>
    </font>
    <font>
      <name val="Arial"/>
      <sz val="11"/>
    </font>
    <font>
      <name val="Arial"/>
      <b val="1"/>
      <color rgb="001E8A5A"/>
      <sz val="11"/>
    </font>
    <font>
      <name val="Arial"/>
      <b val="1"/>
      <sz val="12"/>
    </font>
    <font>
      <name val="Arial"/>
      <b val="1"/>
      <color rgb="001E8A5A"/>
      <sz val="13"/>
    </font>
    <font>
      <name val="Arial"/>
      <color rgb="00141414"/>
      <sz val="10"/>
    </font>
  </fonts>
  <fills count="11">
    <fill>
      <patternFill/>
    </fill>
    <fill>
      <patternFill patternType="gray125"/>
    </fill>
    <fill>
      <patternFill patternType="solid">
        <fgColor rgb="001E8A5A"/>
      </patternFill>
    </fill>
    <fill>
      <patternFill patternType="solid">
        <fgColor rgb="00E7F0FA"/>
      </patternFill>
    </fill>
    <fill>
      <patternFill patternType="solid">
        <fgColor rgb="00E6F4EC"/>
      </patternFill>
    </fill>
    <fill>
      <patternFill patternType="solid">
        <fgColor rgb="00ECE4F6"/>
      </patternFill>
    </fill>
    <fill>
      <patternFill patternType="solid">
        <fgColor rgb="00FBEAD9"/>
      </patternFill>
    </fill>
    <fill>
      <patternFill patternType="solid">
        <fgColor rgb="00E2F0F0"/>
      </patternFill>
    </fill>
    <fill>
      <patternFill patternType="solid">
        <fgColor rgb="00EEEEEE"/>
      </patternFill>
    </fill>
    <fill>
      <patternFill patternType="solid">
        <fgColor rgb="00FBE3DE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164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stiny.com" TargetMode="External" Id="rId1"/><Relationship Type="http://schemas.openxmlformats.org/officeDocument/2006/relationships/hyperlink" Target="https://impact.com" TargetMode="External" Id="rId2"/><Relationship Type="http://schemas.openxmlformats.org/officeDocument/2006/relationships/hyperlink" Target="https://affiliate-program.amazon.sa" TargetMode="External" Id="rId3"/><Relationship Type="http://schemas.openxmlformats.org/officeDocument/2006/relationships/hyperlink" Target="https://www.noon.com" TargetMode="External" Id="rId4"/><Relationship Type="http://schemas.openxmlformats.org/officeDocument/2006/relationships/hyperlink" Target="https://salla.dev" TargetMode="External" Id="rId5"/><Relationship Type="http://schemas.openxmlformats.org/officeDocument/2006/relationships/hyperlink" Target="https://docs.zid.sa" TargetMode="External" Id="rId6"/><Relationship Type="http://schemas.openxmlformats.org/officeDocument/2006/relationships/hyperlink" Target="https://portals.aliexpress.com" TargetMode="External" Id="rId7"/><Relationship Type="http://schemas.openxmlformats.org/officeDocument/2006/relationships/hyperlink" Target="https://www.namshi.com" TargetMode="External" Id="rId8"/><Relationship Type="http://schemas.openxmlformats.org/officeDocument/2006/relationships/hyperlink" Target="https://unifonic.com" TargetMode="External" Id="rId9"/><Relationship Type="http://schemas.openxmlformats.org/officeDocument/2006/relationships/hyperlink" Target="https://taqnyat.sa" TargetMode="External" Id="rId10"/><Relationship Type="http://schemas.openxmlformats.org/officeDocument/2006/relationships/hyperlink" Target="https://twilio.com" TargetMode="External" Id="rId11"/><Relationship Type="http://schemas.openxmlformats.org/officeDocument/2006/relationships/hyperlink" Target="https://infobip.com" TargetMode="External" Id="rId12"/><Relationship Type="http://schemas.openxmlformats.org/officeDocument/2006/relationships/hyperlink" Target="https://aws.amazon.com/sns" TargetMode="External" Id="rId13"/><Relationship Type="http://schemas.openxmlformats.org/officeDocument/2006/relationships/hyperlink" Target="https://business.whatsapp.com" TargetMode="External" Id="rId14"/><Relationship Type="http://schemas.openxmlformats.org/officeDocument/2006/relationships/hyperlink" Target="https://heygen.com" TargetMode="External" Id="rId15"/><Relationship Type="http://schemas.openxmlformats.org/officeDocument/2006/relationships/hyperlink" Target="https://www.volcengine.com" TargetMode="External" Id="rId16"/><Relationship Type="http://schemas.openxmlformats.org/officeDocument/2006/relationships/hyperlink" Target="https://elevenlabs.io" TargetMode="External" Id="rId17"/><Relationship Type="http://schemas.openxmlformats.org/officeDocument/2006/relationships/hyperlink" Target="https://www.anthropic.com" TargetMode="External" Id="rId18"/><Relationship Type="http://schemas.openxmlformats.org/officeDocument/2006/relationships/hyperlink" Target="https://c2pa.org" TargetMode="External" Id="rId19"/><Relationship Type="http://schemas.openxmlformats.org/officeDocument/2006/relationships/hyperlink" Target="https://thehive.ai" TargetMode="External" Id="rId20"/><Relationship Type="http://schemas.openxmlformats.org/officeDocument/2006/relationships/hyperlink" Target="https://core.telegram.org/bots" TargetMode="External" Id="rId21"/><Relationship Type="http://schemas.openxmlformats.org/officeDocument/2006/relationships/hyperlink" Target="https://developers.tiktok.com" TargetMode="External" Id="rId22"/><Relationship Type="http://schemas.openxmlformats.org/officeDocument/2006/relationships/hyperlink" Target="https://developers.facebook.com" TargetMode="External" Id="rId23"/><Relationship Type="http://schemas.openxmlformats.org/officeDocument/2006/relationships/hyperlink" Target="https://console.cloud.google.com" TargetMode="External" Id="rId24"/><Relationship Type="http://schemas.openxmlformats.org/officeDocument/2006/relationships/hyperlink" Target="https://kit.snapchat.com" TargetMode="External" Id="rId25"/><Relationship Type="http://schemas.openxmlformats.org/officeDocument/2006/relationships/hyperlink" Target="https://developer.x.com" TargetMode="External" Id="rId26"/><Relationship Type="http://schemas.openxmlformats.org/officeDocument/2006/relationships/hyperlink" Target="https://business.whatsapp.com" TargetMode="External" Id="rId27"/><Relationship Type="http://schemas.openxmlformats.org/officeDocument/2006/relationships/hyperlink" Target="https://www.nic.gov.sa" TargetMode="External" Id="rId28"/><Relationship Type="http://schemas.openxmlformats.org/officeDocument/2006/relationships/hyperlink" Target="https://www.facetec.com" TargetMode="External" Id="rId29"/><Relationship Type="http://schemas.openxmlformats.org/officeDocument/2006/relationships/hyperlink" Target="https://moyasar.com" TargetMode="External" Id="rId30"/><Relationship Type="http://schemas.openxmlformats.org/officeDocument/2006/relationships/hyperlink" Target="https://cloud.google.com" TargetMode="External" Id="rId31"/><Relationship Type="http://schemas.openxmlformats.org/officeDocument/2006/relationships/hyperlink" Target="https://mux.com" TargetMode="External" Id="rId32"/><Relationship Type="http://schemas.openxmlformats.org/officeDocument/2006/relationships/hyperlink" Target="https://sentry.io" TargetMode="External" Id="rId33"/><Relationship Type="http://schemas.openxmlformats.org/officeDocument/2006/relationships/hyperlink" Target="https://amplitude.com" TargetMode="External" Id="rId34"/><Relationship Type="http://schemas.openxmlformats.org/officeDocument/2006/relationships/hyperlink" Target="https://mc.gov.sa" TargetMode="External" Id="rId35"/><Relationship Type="http://schemas.openxmlformats.org/officeDocument/2006/relationships/hyperlink" Target="https://sdaia.gov.sa" TargetMode="External" Id="rId36"/><Relationship Type="http://schemas.openxmlformats.org/officeDocument/2006/relationships/hyperlink" Target="https://gcam.gov.sa" TargetMode="External" Id="rId37"/><Relationship Type="http://schemas.openxmlformats.org/officeDocument/2006/relationships/hyperlink" Target="https://aws.amazon.com/ses" TargetMode="External" Id="rId38"/><Relationship Type="http://schemas.openxmlformats.org/officeDocument/2006/relationships/hyperlink" Target="https://firebase.google.com" TargetMode="External" Id="rId39"/><Relationship Type="http://schemas.openxmlformats.org/officeDocument/2006/relationships/hyperlink" Target="https://intercom.co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6" customWidth="1" min="4" max="4"/>
    <col width="8" customWidth="1" min="5" max="5"/>
    <col width="11" customWidth="1" min="6" max="6"/>
    <col width="9" customWidth="1" min="7" max="7"/>
    <col width="14" customWidth="1" min="8" max="8"/>
    <col width="30" customWidth="1" min="9" max="9"/>
    <col width="10" customWidth="1" min="10" max="10"/>
    <col width="10" customWidth="1" min="11" max="11"/>
    <col width="40" customWidth="1" min="12" max="12"/>
  </cols>
  <sheetData>
    <row r="1" ht="30" customHeight="1">
      <c r="A1" s="1" t="inlineStr">
        <is>
          <t>板块</t>
        </is>
      </c>
      <c r="B1" s="1" t="inlineStr">
        <is>
          <t>服务 / 能力</t>
        </is>
      </c>
      <c r="C1" s="1" t="inlineStr">
        <is>
          <t>推荐供应商</t>
        </is>
      </c>
      <c r="D1" s="1" t="inlineStr">
        <is>
          <t>候选</t>
        </is>
      </c>
      <c r="E1" s="1" t="inlineStr">
        <is>
          <t>MVP</t>
        </is>
      </c>
      <c r="F1" s="1" t="inlineStr">
        <is>
          <t>申请周期</t>
        </is>
      </c>
      <c r="G1" s="1" t="inlineStr">
        <is>
          <t>难度</t>
        </is>
      </c>
      <c r="H1" s="1" t="inlineStr">
        <is>
          <t>预估月成本</t>
        </is>
      </c>
      <c r="I1" s="1" t="inlineStr">
        <is>
          <t>官网</t>
        </is>
      </c>
      <c r="J1" s="1" t="inlineStr">
        <is>
          <t>状态</t>
        </is>
      </c>
      <c r="K1" s="1" t="inlineStr">
        <is>
          <t>负责人</t>
        </is>
      </c>
      <c r="L1" s="1" t="inlineStr">
        <is>
          <t>备注</t>
        </is>
      </c>
    </row>
    <row r="2">
      <c r="A2" s="2" t="inlineStr">
        <is>
          <t>电商 / 联盟</t>
        </is>
      </c>
      <c r="B2" s="3" t="inlineStr">
        <is>
          <t>联盟网络(一次拿多家)</t>
        </is>
      </c>
      <c r="C2" s="3" t="inlineStr">
        <is>
          <t>Boostiny</t>
        </is>
      </c>
      <c r="D2" s="3" t="inlineStr">
        <is>
          <t>Admitad / Impact.com</t>
        </is>
      </c>
      <c r="E2" s="4" t="inlineStr">
        <is>
          <t>✅ MVP</t>
        </is>
      </c>
      <c r="F2" s="3" t="inlineStr">
        <is>
          <t>1–2 周</t>
        </is>
      </c>
      <c r="G2" s="5" t="inlineStr">
        <is>
          <t>🟢 易</t>
        </is>
      </c>
      <c r="H2" s="3" t="inlineStr">
        <is>
          <t>抽佣</t>
        </is>
      </c>
      <c r="I2" s="6" t="inlineStr">
        <is>
          <t>https://boostiny.com</t>
        </is>
      </c>
      <c r="J2" s="3" t="inlineStr">
        <is>
          <t>未开始</t>
        </is>
      </c>
      <c r="K2" s="3" t="inlineStr"/>
      <c r="L2" s="3" t="inlineStr">
        <is>
          <t>MENA 覆盖最好;Noon/Namshi/AliExpress 等都能接</t>
        </is>
      </c>
    </row>
    <row r="3">
      <c r="A3" s="2" t="inlineStr">
        <is>
          <t>电商 / 联盟</t>
        </is>
      </c>
      <c r="B3" s="3" t="inlineStr">
        <is>
          <t>国际联盟网络</t>
        </is>
      </c>
      <c r="C3" s="3" t="inlineStr">
        <is>
          <t>Impact.com</t>
        </is>
      </c>
      <c r="D3" s="3" t="inlineStr">
        <is>
          <t>Admitad / CJ / Awin</t>
        </is>
      </c>
      <c r="E3" s="4" t="inlineStr">
        <is>
          <t>✅ MVP</t>
        </is>
      </c>
      <c r="F3" s="3" t="inlineStr">
        <is>
          <t>1–2 周</t>
        </is>
      </c>
      <c r="G3" s="5" t="inlineStr">
        <is>
          <t>🟡 中</t>
        </is>
      </c>
      <c r="H3" s="3" t="inlineStr">
        <is>
          <t>抽佣 / 月费</t>
        </is>
      </c>
      <c r="I3" s="6" t="inlineStr">
        <is>
          <t>https://impact.com</t>
        </is>
      </c>
      <c r="J3" s="3" t="inlineStr">
        <is>
          <t>未开始</t>
        </is>
      </c>
      <c r="K3" s="3" t="inlineStr"/>
      <c r="L3" s="3" t="inlineStr">
        <is>
          <t>postback 回传完善,规模化用</t>
        </is>
      </c>
    </row>
    <row r="4">
      <c r="A4" s="2" t="inlineStr">
        <is>
          <t>电商 / 联盟</t>
        </is>
      </c>
      <c r="B4" s="3" t="inlineStr">
        <is>
          <t>Amazon 沙特联盟</t>
        </is>
      </c>
      <c r="C4" s="3" t="inlineStr">
        <is>
          <t>Amazon.sa Associates + PA-API 5.0</t>
        </is>
      </c>
      <c r="D4" s="3" t="inlineStr">
        <is>
          <t>—</t>
        </is>
      </c>
      <c r="E4" s="4" t="inlineStr">
        <is>
          <t>✅ MVP</t>
        </is>
      </c>
      <c r="F4" s="3" t="inlineStr">
        <is>
          <t>1–3 周</t>
        </is>
      </c>
      <c r="G4" s="5" t="inlineStr">
        <is>
          <t>🟡 中</t>
        </is>
      </c>
      <c r="H4" s="3" t="inlineStr">
        <is>
          <t>免费(达量要求)</t>
        </is>
      </c>
      <c r="I4" s="6" t="inlineStr">
        <is>
          <t>https://affiliate-program.amazon.sa</t>
        </is>
      </c>
      <c r="J4" s="3" t="inlineStr">
        <is>
          <t>未开始</t>
        </is>
      </c>
      <c r="K4" s="3" t="inlineStr"/>
      <c r="L4" s="3" t="inlineStr">
        <is>
          <t>PA-API 需先产生销量否则限流</t>
        </is>
      </c>
    </row>
    <row r="5">
      <c r="A5" s="2" t="inlineStr">
        <is>
          <t>电商 / 联盟</t>
        </is>
      </c>
      <c r="B5" s="3" t="inlineStr">
        <is>
          <t>Noon 商品 + 佣金</t>
        </is>
      </c>
      <c r="C5" s="3" t="inlineStr">
        <is>
          <t>Noon(多经 Boostiny)</t>
        </is>
      </c>
      <c r="D5" s="3" t="inlineStr">
        <is>
          <t>直连商家</t>
        </is>
      </c>
      <c r="E5" s="4" t="inlineStr">
        <is>
          <t>✅ MVP</t>
        </is>
      </c>
      <c r="F5" s="3" t="inlineStr">
        <is>
          <t>2–4 周</t>
        </is>
      </c>
      <c r="G5" s="5" t="inlineStr">
        <is>
          <t>🟡 中</t>
        </is>
      </c>
      <c r="H5" s="3" t="inlineStr">
        <is>
          <t>抽佣</t>
        </is>
      </c>
      <c r="I5" s="6" t="inlineStr">
        <is>
          <t>https://www.noon.com</t>
        </is>
      </c>
      <c r="J5" s="3" t="inlineStr">
        <is>
          <t>未开始</t>
        </is>
      </c>
      <c r="K5" s="3" t="inlineStr"/>
      <c r="L5" s="3" t="inlineStr">
        <is>
          <t>公开商品 API 有限,优先经联盟</t>
        </is>
      </c>
    </row>
    <row r="6">
      <c r="A6" s="2" t="inlineStr">
        <is>
          <t>电商 / 联盟</t>
        </is>
      </c>
      <c r="B6" s="3" t="inlineStr">
        <is>
          <t>沙特电商 SaaS(商家直连)</t>
        </is>
      </c>
      <c r="C6" s="3" t="inlineStr">
        <is>
          <t>Salla(سلة)</t>
        </is>
      </c>
      <c r="D6" s="3" t="inlineStr">
        <is>
          <t>Zid(زد)</t>
        </is>
      </c>
      <c r="E6" s="7" t="inlineStr">
        <is>
          <t>⬜ 二期</t>
        </is>
      </c>
      <c r="F6" s="3" t="inlineStr">
        <is>
          <t>2–4 周</t>
        </is>
      </c>
      <c r="G6" s="5" t="inlineStr">
        <is>
          <t>🟡 中</t>
        </is>
      </c>
      <c r="H6" s="3" t="inlineStr">
        <is>
          <t>免费 + 审核</t>
        </is>
      </c>
      <c r="I6" s="6" t="inlineStr">
        <is>
          <t>https://salla.dev</t>
        </is>
      </c>
      <c r="J6" s="3" t="inlineStr">
        <is>
          <t>未开始</t>
        </is>
      </c>
      <c r="K6" s="3" t="inlineStr"/>
      <c r="L6" s="3" t="inlineStr">
        <is>
          <t>对接商家店铺/私域,非联盟</t>
        </is>
      </c>
    </row>
    <row r="7">
      <c r="A7" s="2" t="inlineStr">
        <is>
          <t>电商 / 联盟</t>
        </is>
      </c>
      <c r="B7" s="3" t="inlineStr">
        <is>
          <t>沙特电商 SaaS(商家直连)</t>
        </is>
      </c>
      <c r="C7" s="3" t="inlineStr">
        <is>
          <t>Zid(زد)</t>
        </is>
      </c>
      <c r="D7" s="3" t="inlineStr">
        <is>
          <t>Salla</t>
        </is>
      </c>
      <c r="E7" s="7" t="inlineStr">
        <is>
          <t>⬜ 二期</t>
        </is>
      </c>
      <c r="F7" s="3" t="inlineStr">
        <is>
          <t>2–4 周</t>
        </is>
      </c>
      <c r="G7" s="5" t="inlineStr">
        <is>
          <t>🟡 中</t>
        </is>
      </c>
      <c r="H7" s="3" t="inlineStr">
        <is>
          <t>免费 + 审核</t>
        </is>
      </c>
      <c r="I7" s="6" t="inlineStr">
        <is>
          <t>https://docs.zid.sa</t>
        </is>
      </c>
      <c r="J7" s="3" t="inlineStr">
        <is>
          <t>未开始</t>
        </is>
      </c>
      <c r="K7" s="3" t="inlineStr"/>
      <c r="L7" s="3" t="inlineStr">
        <is>
          <t>商品/订单/Webhook</t>
        </is>
      </c>
    </row>
    <row r="8">
      <c r="A8" s="2" t="inlineStr">
        <is>
          <t>电商 / 联盟</t>
        </is>
      </c>
      <c r="B8" s="3" t="inlineStr">
        <is>
          <t>跨境联盟</t>
        </is>
      </c>
      <c r="C8" s="3" t="inlineStr">
        <is>
          <t>AliExpress 联盟开放平台</t>
        </is>
      </c>
      <c r="D8" s="3" t="inlineStr">
        <is>
          <t>—</t>
        </is>
      </c>
      <c r="E8" s="7" t="inlineStr">
        <is>
          <t>⬜ 二期</t>
        </is>
      </c>
      <c r="F8" s="3" t="inlineStr">
        <is>
          <t>1–2 周</t>
        </is>
      </c>
      <c r="G8" s="5" t="inlineStr">
        <is>
          <t>🟢 易</t>
        </is>
      </c>
      <c r="H8" s="3" t="inlineStr">
        <is>
          <t>抽佣</t>
        </is>
      </c>
      <c r="I8" s="6" t="inlineStr">
        <is>
          <t>https://portals.aliexpress.com</t>
        </is>
      </c>
      <c r="J8" s="3" t="inlineStr">
        <is>
          <t>未开始</t>
        </is>
      </c>
      <c r="K8" s="3" t="inlineStr"/>
      <c r="L8" s="3" t="inlineStr">
        <is>
          <t>海湾跨境品类丰富</t>
        </is>
      </c>
    </row>
    <row r="9">
      <c r="A9" s="2" t="inlineStr">
        <is>
          <t>电商 / 联盟</t>
        </is>
      </c>
      <c r="B9" s="3" t="inlineStr">
        <is>
          <t>时尚 / 美妆</t>
        </is>
      </c>
      <c r="C9" s="3" t="inlineStr">
        <is>
          <t>Namshi / Trendyol(经联盟)</t>
        </is>
      </c>
      <c r="D9" s="3" t="inlineStr">
        <is>
          <t>—</t>
        </is>
      </c>
      <c r="E9" s="7" t="inlineStr">
        <is>
          <t>⬜ 二期</t>
        </is>
      </c>
      <c r="F9" s="3" t="inlineStr">
        <is>
          <t>—</t>
        </is>
      </c>
      <c r="G9" s="5" t="inlineStr">
        <is>
          <t>🟢 易</t>
        </is>
      </c>
      <c r="H9" s="3" t="inlineStr">
        <is>
          <t>抽佣</t>
        </is>
      </c>
      <c r="I9" s="6" t="inlineStr">
        <is>
          <t>https://www.namshi.com</t>
        </is>
      </c>
      <c r="J9" s="3" t="inlineStr">
        <is>
          <t>未开始</t>
        </is>
      </c>
      <c r="K9" s="3" t="inlineStr"/>
      <c r="L9" s="3" t="inlineStr">
        <is>
          <t>通过 Boostiny/Admitad 拿</t>
        </is>
      </c>
    </row>
    <row r="10">
      <c r="A10" s="8" t="inlineStr">
        <is>
          <t>短信 / 通讯</t>
        </is>
      </c>
      <c r="B10" s="3" t="inlineStr">
        <is>
          <t>OTP 短信(本土首选)</t>
        </is>
      </c>
      <c r="C10" s="3" t="inlineStr">
        <is>
          <t>Unifonic</t>
        </is>
      </c>
      <c r="D10" s="3" t="inlineStr">
        <is>
          <t>Taqnyat</t>
        </is>
      </c>
      <c r="E10" s="4" t="inlineStr">
        <is>
          <t>✅ MVP</t>
        </is>
      </c>
      <c r="F10" s="3" t="inlineStr">
        <is>
          <t>1–2 周</t>
        </is>
      </c>
      <c r="G10" s="5" t="inlineStr">
        <is>
          <t>🟢 易</t>
        </is>
      </c>
      <c r="H10" s="3" t="inlineStr">
        <is>
          <t>按条(SAR)</t>
        </is>
      </c>
      <c r="I10" s="6" t="inlineStr">
        <is>
          <t>https://unifonic.com</t>
        </is>
      </c>
      <c r="J10" s="3" t="inlineStr">
        <is>
          <t>未开始</t>
        </is>
      </c>
      <c r="K10" s="3" t="inlineStr"/>
      <c r="L10" s="3" t="inlineStr">
        <is>
          <t>利雅得公司,送达率高;需 CST 注册 Sender ID</t>
        </is>
      </c>
    </row>
    <row r="11">
      <c r="A11" s="8" t="inlineStr">
        <is>
          <t>短信 / 通讯</t>
        </is>
      </c>
      <c r="B11" s="3" t="inlineStr">
        <is>
          <t>OTP 短信(本土备选)</t>
        </is>
      </c>
      <c r="C11" s="3" t="inlineStr">
        <is>
          <t>Taqnyat</t>
        </is>
      </c>
      <c r="D11" s="3" t="inlineStr">
        <is>
          <t>Msegat / Oursms / Mora</t>
        </is>
      </c>
      <c r="E11" s="4" t="inlineStr">
        <is>
          <t>✅ MVP</t>
        </is>
      </c>
      <c r="F11" s="3" t="inlineStr">
        <is>
          <t>1–2 周</t>
        </is>
      </c>
      <c r="G11" s="5" t="inlineStr">
        <is>
          <t>🟢 易</t>
        </is>
      </c>
      <c r="H11" s="3" t="inlineStr">
        <is>
          <t>按条</t>
        </is>
      </c>
      <c r="I11" s="6" t="inlineStr">
        <is>
          <t>https://taqnyat.sa</t>
        </is>
      </c>
      <c r="J11" s="3" t="inlineStr">
        <is>
          <t>未开始</t>
        </is>
      </c>
      <c r="K11" s="3" t="inlineStr"/>
      <c r="L11" s="3" t="inlineStr">
        <is>
          <t>性价比好</t>
        </is>
      </c>
    </row>
    <row r="12">
      <c r="A12" s="8" t="inlineStr">
        <is>
          <t>短信 / 通讯</t>
        </is>
      </c>
      <c r="B12" s="3" t="inlineStr">
        <is>
          <t>OTP 短信(国际)</t>
        </is>
      </c>
      <c r="C12" s="3" t="inlineStr">
        <is>
          <t>Twilio</t>
        </is>
      </c>
      <c r="D12" s="3" t="inlineStr">
        <is>
          <t>Vonage / Infobip / Sinch</t>
        </is>
      </c>
      <c r="E12" s="7" t="inlineStr">
        <is>
          <t>⬜ 二期</t>
        </is>
      </c>
      <c r="F12" s="3" t="inlineStr">
        <is>
          <t>1–3 周</t>
        </is>
      </c>
      <c r="G12" s="5" t="inlineStr">
        <is>
          <t>🟡 中</t>
        </is>
      </c>
      <c r="H12" s="3" t="inlineStr">
        <is>
          <t>$ 偏高</t>
        </is>
      </c>
      <c r="I12" s="6" t="inlineStr">
        <is>
          <t>https://twilio.com</t>
        </is>
      </c>
      <c r="J12" s="3" t="inlineStr">
        <is>
          <t>未开始</t>
        </is>
      </c>
      <c r="K12" s="3" t="inlineStr"/>
      <c r="L12" s="3" t="inlineStr">
        <is>
          <t>文档好,海湾资费贵,仍需 CST Sender ID</t>
        </is>
      </c>
    </row>
    <row r="13">
      <c r="A13" s="8" t="inlineStr">
        <is>
          <t>短信 / 通讯</t>
        </is>
      </c>
      <c r="B13" s="3" t="inlineStr">
        <is>
          <t>OTP 短信(中东本地化)</t>
        </is>
      </c>
      <c r="C13" s="3" t="inlineStr">
        <is>
          <t>Infobip</t>
        </is>
      </c>
      <c r="D13" s="3" t="inlineStr">
        <is>
          <t>Sinch / Vonage</t>
        </is>
      </c>
      <c r="E13" s="7" t="inlineStr">
        <is>
          <t>⬜ 二期</t>
        </is>
      </c>
      <c r="F13" s="3" t="inlineStr">
        <is>
          <t>1–3 周</t>
        </is>
      </c>
      <c r="G13" s="5" t="inlineStr">
        <is>
          <t>🟡 中</t>
        </is>
      </c>
      <c r="H13" s="3" t="inlineStr">
        <is>
          <t>按条</t>
        </is>
      </c>
      <c r="I13" s="6" t="inlineStr">
        <is>
          <t>https://infobip.com</t>
        </is>
      </c>
      <c r="J13" s="3" t="inlineStr">
        <is>
          <t>未开始</t>
        </is>
      </c>
      <c r="K13" s="3" t="inlineStr"/>
      <c r="L13" s="3" t="inlineStr">
        <is>
          <t>中东本地化不错</t>
        </is>
      </c>
    </row>
    <row r="14">
      <c r="A14" s="8" t="inlineStr">
        <is>
          <t>短信 / 通讯</t>
        </is>
      </c>
      <c r="B14" s="3" t="inlineStr">
        <is>
          <t>OTP(云原生起步)</t>
        </is>
      </c>
      <c r="C14" s="3" t="inlineStr">
        <is>
          <t>AWS SNS</t>
        </is>
      </c>
      <c r="D14" s="3" t="inlineStr">
        <is>
          <t>—</t>
        </is>
      </c>
      <c r="E14" s="7" t="inlineStr">
        <is>
          <t>⬜ 二期</t>
        </is>
      </c>
      <c r="F14" s="3" t="inlineStr">
        <is>
          <t>即开</t>
        </is>
      </c>
      <c r="G14" s="5" t="inlineStr">
        <is>
          <t>🟢 易</t>
        </is>
      </c>
      <c r="H14" s="3" t="inlineStr">
        <is>
          <t>按条</t>
        </is>
      </c>
      <c r="I14" s="6" t="inlineStr">
        <is>
          <t>https://aws.amazon.com/sns</t>
        </is>
      </c>
      <c r="J14" s="3" t="inlineStr">
        <is>
          <t>未开始</t>
        </is>
      </c>
      <c r="K14" s="3" t="inlineStr"/>
      <c r="L14" s="3" t="inlineStr">
        <is>
          <t>量小起步,Sender ID 受限</t>
        </is>
      </c>
    </row>
    <row r="15">
      <c r="A15" s="8" t="inlineStr">
        <is>
          <t>短信 / 通讯</t>
        </is>
      </c>
      <c r="B15" s="3" t="inlineStr">
        <is>
          <t>OTP 备份通道</t>
        </is>
      </c>
      <c r="C15" s="3" t="inlineStr">
        <is>
          <t>WhatsApp OTP(Meta)</t>
        </is>
      </c>
      <c r="D15" s="3" t="inlineStr">
        <is>
          <t>—</t>
        </is>
      </c>
      <c r="E15" s="7" t="inlineStr">
        <is>
          <t>⬜ 二期</t>
        </is>
      </c>
      <c r="F15" s="3" t="inlineStr">
        <is>
          <t>商业验证</t>
        </is>
      </c>
      <c r="G15" s="5" t="inlineStr">
        <is>
          <t>🟡 中</t>
        </is>
      </c>
      <c r="H15" s="3" t="inlineStr">
        <is>
          <t>按会话</t>
        </is>
      </c>
      <c r="I15" s="6" t="inlineStr">
        <is>
          <t>https://business.whatsapp.com</t>
        </is>
      </c>
      <c r="J15" s="3" t="inlineStr">
        <is>
          <t>未开始</t>
        </is>
      </c>
      <c r="K15" s="3" t="inlineStr"/>
      <c r="L15" s="3" t="inlineStr">
        <is>
          <t>海湾渗透率极高,可做主/备 OTP</t>
        </is>
      </c>
    </row>
    <row r="16">
      <c r="A16" s="9" t="inlineStr">
        <is>
          <t>核心 AI</t>
        </is>
      </c>
      <c r="B16" s="3" t="inlineStr">
        <is>
          <t>数字人口播(本人出镜)</t>
        </is>
      </c>
      <c r="C16" s="3" t="inlineStr">
        <is>
          <t>HeyGen</t>
        </is>
      </c>
      <c r="D16" s="3" t="inlineStr">
        <is>
          <t>Tavus / D-ID / Synthesia</t>
        </is>
      </c>
      <c r="E16" s="4" t="inlineStr">
        <is>
          <t>✅ MVP</t>
        </is>
      </c>
      <c r="F16" s="3" t="inlineStr">
        <is>
          <t>1–2 周</t>
        </is>
      </c>
      <c r="G16" s="5" t="inlineStr">
        <is>
          <t>🟢 易</t>
        </is>
      </c>
      <c r="H16" s="3" t="inlineStr">
        <is>
          <t>按分钟 / 订阅</t>
        </is>
      </c>
      <c r="I16" s="6" t="inlineStr">
        <is>
          <t>https://heygen.com</t>
        </is>
      </c>
      <c r="J16" s="3" t="inlineStr">
        <is>
          <t>未开始</t>
        </is>
      </c>
      <c r="K16" s="3" t="inlineStr"/>
      <c r="L16" s="3" t="inlineStr">
        <is>
          <t>对应'肖像授权 + 私有模型',最快落地</t>
        </is>
      </c>
    </row>
    <row r="17">
      <c r="A17" s="9" t="inlineStr">
        <is>
          <t>核心 AI</t>
        </is>
      </c>
      <c r="B17" s="3" t="inlineStr">
        <is>
          <t>视频生成(产品空镜 B-roll)</t>
        </is>
      </c>
      <c r="C17" s="3" t="inlineStr">
        <is>
          <t>Seedance(火山引擎)</t>
        </is>
      </c>
      <c r="D17" s="3" t="inlineStr">
        <is>
          <t>可灵 Kling / Veo3 / Runway / 海螺</t>
        </is>
      </c>
      <c r="E17" s="7" t="inlineStr">
        <is>
          <t>⬜ 二期</t>
        </is>
      </c>
      <c r="F17" s="3" t="inlineStr">
        <is>
          <t>1–2 周</t>
        </is>
      </c>
      <c r="G17" s="5" t="inlineStr">
        <is>
          <t>🟡 中</t>
        </is>
      </c>
      <c r="H17" s="3" t="inlineStr">
        <is>
          <t>按生成</t>
        </is>
      </c>
      <c r="I17" s="6" t="inlineStr">
        <is>
          <t>https://www.volcengine.com</t>
        </is>
      </c>
      <c r="J17" s="3" t="inlineStr">
        <is>
          <t>未开始</t>
        </is>
      </c>
      <c r="K17" s="3" t="inlineStr"/>
      <c r="L17" s="3" t="inlineStr">
        <is>
          <t>不单独当'本人出镜';注意境外数据合规</t>
        </is>
      </c>
    </row>
    <row r="18">
      <c r="A18" s="9" t="inlineStr">
        <is>
          <t>核心 AI</t>
        </is>
      </c>
      <c r="B18" s="3" t="inlineStr">
        <is>
          <t>配音(海湾阿语)</t>
        </is>
      </c>
      <c r="C18" s="3" t="inlineStr">
        <is>
          <t>ElevenLabs</t>
        </is>
      </c>
      <c r="D18" s="3" t="inlineStr">
        <is>
          <t>Azure Speech ar-SA / Cartesia</t>
        </is>
      </c>
      <c r="E18" s="4" t="inlineStr">
        <is>
          <t>✅ MVP</t>
        </is>
      </c>
      <c r="F18" s="3" t="inlineStr">
        <is>
          <t>即开</t>
        </is>
      </c>
      <c r="G18" s="5" t="inlineStr">
        <is>
          <t>🟢 易</t>
        </is>
      </c>
      <c r="H18" s="3" t="inlineStr">
        <is>
          <t>按字符</t>
        </is>
      </c>
      <c r="I18" s="6" t="inlineStr">
        <is>
          <t>https://elevenlabs.io</t>
        </is>
      </c>
      <c r="J18" s="3" t="inlineStr">
        <is>
          <t>未开始</t>
        </is>
      </c>
      <c r="K18" s="3" t="inlineStr"/>
      <c r="L18" s="3" t="inlineStr">
        <is>
          <t>支持声音克隆</t>
        </is>
      </c>
    </row>
    <row r="19">
      <c r="A19" s="9" t="inlineStr">
        <is>
          <t>核心 AI</t>
        </is>
      </c>
      <c r="B19" s="3" t="inlineStr">
        <is>
          <t>脚本生成 LLM</t>
        </is>
      </c>
      <c r="C19" s="3" t="inlineStr">
        <is>
          <t>Anthropic Claude API</t>
        </is>
      </c>
      <c r="D19" s="3" t="inlineStr">
        <is>
          <t>OpenAI</t>
        </is>
      </c>
      <c r="E19" s="4" t="inlineStr">
        <is>
          <t>✅ MVP</t>
        </is>
      </c>
      <c r="F19" s="3" t="inlineStr">
        <is>
          <t>即开</t>
        </is>
      </c>
      <c r="G19" s="5" t="inlineStr">
        <is>
          <t>🟢 易</t>
        </is>
      </c>
      <c r="H19" s="3" t="inlineStr">
        <is>
          <t>按 token</t>
        </is>
      </c>
      <c r="I19" s="6" t="inlineStr">
        <is>
          <t>https://www.anthropic.com</t>
        </is>
      </c>
      <c r="J19" s="3" t="inlineStr">
        <is>
          <t>未开始</t>
        </is>
      </c>
      <c r="K19" s="3" t="inlineStr"/>
      <c r="L19" s="3" t="inlineStr">
        <is>
          <t>阿语质量好</t>
        </is>
      </c>
    </row>
    <row r="20">
      <c r="A20" s="9" t="inlineStr">
        <is>
          <t>核心 AI</t>
        </is>
      </c>
      <c r="B20" s="3" t="inlineStr">
        <is>
          <t>AI 内容水印 / 标注</t>
        </is>
      </c>
      <c r="C20" s="3" t="inlineStr">
        <is>
          <t>C2PA Content Credentials</t>
        </is>
      </c>
      <c r="D20" s="3" t="inlineStr">
        <is>
          <t>Google SynthID</t>
        </is>
      </c>
      <c r="E20" s="4" t="inlineStr">
        <is>
          <t>✅ MVP</t>
        </is>
      </c>
      <c r="F20" s="3" t="inlineStr">
        <is>
          <t>—</t>
        </is>
      </c>
      <c r="G20" s="5" t="inlineStr">
        <is>
          <t>🟡 中</t>
        </is>
      </c>
      <c r="H20" s="3" t="inlineStr">
        <is>
          <t>低</t>
        </is>
      </c>
      <c r="I20" s="6" t="inlineStr">
        <is>
          <t>https://c2pa.org</t>
        </is>
      </c>
      <c r="J20" s="3" t="inlineStr">
        <is>
          <t>未开始</t>
        </is>
      </c>
      <c r="K20" s="3" t="inlineStr"/>
      <c r="L20" s="3" t="inlineStr">
        <is>
          <t>平台 + 沙特强制</t>
        </is>
      </c>
    </row>
    <row r="21">
      <c r="A21" s="9" t="inlineStr">
        <is>
          <t>核心 AI</t>
        </is>
      </c>
      <c r="B21" s="3" t="inlineStr">
        <is>
          <t>内容审核(得体度 / Hijab)</t>
        </is>
      </c>
      <c r="C21" s="3" t="inlineStr">
        <is>
          <t>Hive</t>
        </is>
      </c>
      <c r="D21" s="3" t="inlineStr">
        <is>
          <t>Azure Content Safety + 人工</t>
        </is>
      </c>
      <c r="E21" s="4" t="inlineStr">
        <is>
          <t>✅ MVP</t>
        </is>
      </c>
      <c r="F21" s="3" t="inlineStr">
        <is>
          <t>即开</t>
        </is>
      </c>
      <c r="G21" s="5" t="inlineStr">
        <is>
          <t>🟡 中</t>
        </is>
      </c>
      <c r="H21" s="3" t="inlineStr">
        <is>
          <t>按量</t>
        </is>
      </c>
      <c r="I21" s="6" t="inlineStr">
        <is>
          <t>https://thehive.ai</t>
        </is>
      </c>
      <c r="J21" s="3" t="inlineStr">
        <is>
          <t>未开始</t>
        </is>
      </c>
      <c r="K21" s="3" t="inlineStr"/>
      <c r="L21" s="3" t="inlineStr">
        <is>
          <t>机器 + 人工双审</t>
        </is>
      </c>
    </row>
    <row r="22">
      <c r="A22" s="10" t="inlineStr">
        <is>
          <t>社媒发布</t>
        </is>
      </c>
      <c r="B22" s="3" t="inlineStr">
        <is>
          <t>Telegram 频道直发</t>
        </is>
      </c>
      <c r="C22" s="3" t="inlineStr">
        <is>
          <t>Telegram Bot API</t>
        </is>
      </c>
      <c r="D22" s="3" t="inlineStr">
        <is>
          <t>—</t>
        </is>
      </c>
      <c r="E22" s="4" t="inlineStr">
        <is>
          <t>✅ MVP</t>
        </is>
      </c>
      <c r="F22" s="3" t="inlineStr">
        <is>
          <t>即开</t>
        </is>
      </c>
      <c r="G22" s="5" t="inlineStr">
        <is>
          <t>🟢 易</t>
        </is>
      </c>
      <c r="H22" s="3" t="inlineStr">
        <is>
          <t>免费</t>
        </is>
      </c>
      <c r="I22" s="6" t="inlineStr">
        <is>
          <t>https://core.telegram.org/bots</t>
        </is>
      </c>
      <c r="J22" s="3" t="inlineStr">
        <is>
          <t>未开始</t>
        </is>
      </c>
      <c r="K22" s="3" t="inlineStr"/>
      <c r="L22" s="3" t="inlineStr">
        <is>
          <t>Bot 设为频道管理员即可,最稳</t>
        </is>
      </c>
    </row>
    <row r="23">
      <c r="A23" s="10" t="inlineStr">
        <is>
          <t>社媒发布</t>
        </is>
      </c>
      <c r="B23" s="3" t="inlineStr">
        <is>
          <t>TikTok 直发 / 洞察</t>
        </is>
      </c>
      <c r="C23" s="3" t="inlineStr">
        <is>
          <t>TikTok Content Posting API</t>
        </is>
      </c>
      <c r="D23" s="3" t="inlineStr">
        <is>
          <t>—</t>
        </is>
      </c>
      <c r="E23" s="7" t="inlineStr">
        <is>
          <t>⬜ 二期</t>
        </is>
      </c>
      <c r="F23" s="3" t="inlineStr">
        <is>
          <t>数周</t>
        </is>
      </c>
      <c r="G23" s="5" t="inlineStr">
        <is>
          <t>🟠 难</t>
        </is>
      </c>
      <c r="H23" s="3" t="inlineStr">
        <is>
          <t>免费</t>
        </is>
      </c>
      <c r="I23" s="6" t="inlineStr">
        <is>
          <t>https://developers.tiktok.com</t>
        </is>
      </c>
      <c r="J23" s="3" t="inlineStr">
        <is>
          <t>未开始</t>
        </is>
      </c>
      <c r="K23" s="3" t="inlineStr"/>
      <c r="L23" s="3" t="inlineStr">
        <is>
          <t>需 audit 审核;未过审先传草稿/引导手动发</t>
        </is>
      </c>
    </row>
    <row r="24">
      <c r="A24" s="10" t="inlineStr">
        <is>
          <t>社媒发布</t>
        </is>
      </c>
      <c r="B24" s="3" t="inlineStr">
        <is>
          <t>Instagram Reels 发布</t>
        </is>
      </c>
      <c r="C24" s="3" t="inlineStr">
        <is>
          <t>Meta Graph API</t>
        </is>
      </c>
      <c r="D24" s="3" t="inlineStr">
        <is>
          <t>—</t>
        </is>
      </c>
      <c r="E24" s="7" t="inlineStr">
        <is>
          <t>⬜ 二期</t>
        </is>
      </c>
      <c r="F24" s="3" t="inlineStr">
        <is>
          <t>数周</t>
        </is>
      </c>
      <c r="G24" s="5" t="inlineStr">
        <is>
          <t>🟠 难</t>
        </is>
      </c>
      <c r="H24" s="3" t="inlineStr">
        <is>
          <t>免费</t>
        </is>
      </c>
      <c r="I24" s="6" t="inlineStr">
        <is>
          <t>https://developers.facebook.com</t>
        </is>
      </c>
      <c r="J24" s="3" t="inlineStr">
        <is>
          <t>未开始</t>
        </is>
      </c>
      <c r="K24" s="3" t="inlineStr"/>
      <c r="L24" s="3" t="inlineStr">
        <is>
          <t>需 App Review + 商业验证</t>
        </is>
      </c>
    </row>
    <row r="25">
      <c r="A25" s="10" t="inlineStr">
        <is>
          <t>社媒发布</t>
        </is>
      </c>
      <c r="B25" s="3" t="inlineStr">
        <is>
          <t>YouTube Shorts 发布</t>
        </is>
      </c>
      <c r="C25" s="3" t="inlineStr">
        <is>
          <t>YouTube Data API v3</t>
        </is>
      </c>
      <c r="D25" s="3" t="inlineStr">
        <is>
          <t>—</t>
        </is>
      </c>
      <c r="E25" s="7" t="inlineStr">
        <is>
          <t>⬜ 二期</t>
        </is>
      </c>
      <c r="F25" s="3" t="inlineStr">
        <is>
          <t>1–3 周</t>
        </is>
      </c>
      <c r="G25" s="5" t="inlineStr">
        <is>
          <t>🟡 中</t>
        </is>
      </c>
      <c r="H25" s="3" t="inlineStr">
        <is>
          <t>免费(配额)</t>
        </is>
      </c>
      <c r="I25" s="6" t="inlineStr">
        <is>
          <t>https://console.cloud.google.com</t>
        </is>
      </c>
      <c r="J25" s="3" t="inlineStr">
        <is>
          <t>未开始</t>
        </is>
      </c>
      <c r="K25" s="3" t="inlineStr"/>
      <c r="L25" s="3" t="inlineStr">
        <is>
          <t>默认配额低,需申请提升</t>
        </is>
      </c>
    </row>
    <row r="26">
      <c r="A26" s="10" t="inlineStr">
        <is>
          <t>社媒发布</t>
        </is>
      </c>
      <c r="B26" s="3" t="inlineStr">
        <is>
          <t>Snapchat 分享</t>
        </is>
      </c>
      <c r="C26" s="3" t="inlineStr">
        <is>
          <t>Snap Creative Kit</t>
        </is>
      </c>
      <c r="D26" s="3" t="inlineStr">
        <is>
          <t>Marketing API</t>
        </is>
      </c>
      <c r="E26" s="7" t="inlineStr">
        <is>
          <t>⬜ 二期</t>
        </is>
      </c>
      <c r="F26" s="3" t="inlineStr">
        <is>
          <t>数周</t>
        </is>
      </c>
      <c r="G26" s="5" t="inlineStr">
        <is>
          <t>🔴 受限</t>
        </is>
      </c>
      <c r="H26" s="3" t="inlineStr">
        <is>
          <t>免费</t>
        </is>
      </c>
      <c r="I26" s="6" t="inlineStr">
        <is>
          <t>https://kit.snapchat.com</t>
        </is>
      </c>
      <c r="J26" s="3" t="inlineStr">
        <is>
          <t>未开始</t>
        </is>
      </c>
      <c r="K26" s="3" t="inlineStr"/>
      <c r="L26" s="3" t="inlineStr">
        <is>
          <t>Spotlight 自动发不开放,唤起 App 内发</t>
        </is>
      </c>
    </row>
    <row r="27">
      <c r="A27" s="10" t="inlineStr">
        <is>
          <t>社媒发布</t>
        </is>
      </c>
      <c r="B27" s="3" t="inlineStr">
        <is>
          <t>X(Twitter)发推 + 链接</t>
        </is>
      </c>
      <c r="C27" s="3" t="inlineStr">
        <is>
          <t>X API v2</t>
        </is>
      </c>
      <c r="D27" s="3" t="inlineStr">
        <is>
          <t>—</t>
        </is>
      </c>
      <c r="E27" s="7" t="inlineStr">
        <is>
          <t>⬜ 二期</t>
        </is>
      </c>
      <c r="F27" s="3" t="inlineStr">
        <is>
          <t>即开</t>
        </is>
      </c>
      <c r="G27" s="5" t="inlineStr">
        <is>
          <t>🟡 中</t>
        </is>
      </c>
      <c r="H27" s="3" t="inlineStr">
        <is>
          <t>≈$200/月起</t>
        </is>
      </c>
      <c r="I27" s="6" t="inlineStr">
        <is>
          <t>https://developer.x.com</t>
        </is>
      </c>
      <c r="J27" s="3" t="inlineStr">
        <is>
          <t>未开始</t>
        </is>
      </c>
      <c r="K27" s="3" t="inlineStr"/>
      <c r="L27" s="3" t="inlineStr">
        <is>
          <t>API 付费</t>
        </is>
      </c>
    </row>
    <row r="28">
      <c r="A28" s="10" t="inlineStr">
        <is>
          <t>社媒发布</t>
        </is>
      </c>
      <c r="B28" s="3" t="inlineStr">
        <is>
          <t>WhatsApp 触达(非发帖)</t>
        </is>
      </c>
      <c r="C28" s="3" t="inlineStr">
        <is>
          <t>WhatsApp Business Cloud API</t>
        </is>
      </c>
      <c r="D28" s="3" t="inlineStr">
        <is>
          <t>—</t>
        </is>
      </c>
      <c r="E28" s="7" t="inlineStr">
        <is>
          <t>⬜ 二期</t>
        </is>
      </c>
      <c r="F28" s="3" t="inlineStr">
        <is>
          <t>商业验证</t>
        </is>
      </c>
      <c r="G28" s="5" t="inlineStr">
        <is>
          <t>🔴 受限</t>
        </is>
      </c>
      <c r="H28" s="3" t="inlineStr">
        <is>
          <t>按会话</t>
        </is>
      </c>
      <c r="I28" s="6" t="inlineStr">
        <is>
          <t>https://business.whatsapp.com</t>
        </is>
      </c>
      <c r="J28" s="3" t="inlineStr">
        <is>
          <t>未开始</t>
        </is>
      </c>
      <c r="K28" s="3" t="inlineStr"/>
      <c r="L28" s="3" t="inlineStr">
        <is>
          <t>Status 无发布 API,只能模板/广播</t>
        </is>
      </c>
    </row>
    <row r="29">
      <c r="A29" s="11" t="inlineStr">
        <is>
          <t>身份 / 支付</t>
        </is>
      </c>
      <c r="B29" s="3" t="inlineStr">
        <is>
          <t>创作者实名 KYC</t>
        </is>
      </c>
      <c r="C29" s="3" t="inlineStr">
        <is>
          <t>Nafath(نفاذ 国家身份)</t>
        </is>
      </c>
      <c r="D29" s="3" t="inlineStr">
        <is>
          <t>Sumsub / IDfy</t>
        </is>
      </c>
      <c r="E29" s="4" t="inlineStr">
        <is>
          <t>✅ MVP</t>
        </is>
      </c>
      <c r="F29" s="3" t="inlineStr">
        <is>
          <t>2–4 周</t>
        </is>
      </c>
      <c r="G29" s="5" t="inlineStr">
        <is>
          <t>🟡 中</t>
        </is>
      </c>
      <c r="H29" s="3" t="inlineStr">
        <is>
          <t>按次</t>
        </is>
      </c>
      <c r="I29" s="6" t="inlineStr">
        <is>
          <t>https://www.nic.gov.sa</t>
        </is>
      </c>
      <c r="J29" s="3" t="inlineStr">
        <is>
          <t>未开始</t>
        </is>
      </c>
      <c r="K29" s="3" t="inlineStr"/>
      <c r="L29" s="3" t="inlineStr">
        <is>
          <t>沙特公民体验最好,提现合规绕不开</t>
        </is>
      </c>
    </row>
    <row r="30">
      <c r="A30" s="11" t="inlineStr">
        <is>
          <t>身份 / 支付</t>
        </is>
      </c>
      <c r="B30" s="3" t="inlineStr">
        <is>
          <t>肖像活体检测</t>
        </is>
      </c>
      <c r="C30" s="3" t="inlineStr">
        <is>
          <t>FaceTec</t>
        </is>
      </c>
      <c r="D30" s="3" t="inlineStr">
        <is>
          <t>AWS Rekognition Liveness / iProov</t>
        </is>
      </c>
      <c r="E30" s="4" t="inlineStr">
        <is>
          <t>✅ MVP</t>
        </is>
      </c>
      <c r="F30" s="3" t="inlineStr">
        <is>
          <t>即开</t>
        </is>
      </c>
      <c r="G30" s="5" t="inlineStr">
        <is>
          <t>🟡 中</t>
        </is>
      </c>
      <c r="H30" s="3" t="inlineStr">
        <is>
          <t>按次</t>
        </is>
      </c>
      <c r="I30" s="6" t="inlineStr">
        <is>
          <t>https://www.facetec.com</t>
        </is>
      </c>
      <c r="J30" s="3" t="inlineStr">
        <is>
          <t>未开始</t>
        </is>
      </c>
      <c r="K30" s="3" t="inlineStr"/>
      <c r="L30" s="3" t="inlineStr">
        <is>
          <t>对应人脸采集闸门</t>
        </is>
      </c>
    </row>
    <row r="31">
      <c r="A31" s="11" t="inlineStr">
        <is>
          <t>身份 / 支付</t>
        </is>
      </c>
      <c r="B31" s="3" t="inlineStr">
        <is>
          <t>收单(充值 / 订阅)</t>
        </is>
      </c>
      <c r="C31" s="3" t="inlineStr">
        <is>
          <t>Moyasar</t>
        </is>
      </c>
      <c r="D31" s="3" t="inlineStr">
        <is>
          <t>PayTabs / Tap / HyperPay / Geidea</t>
        </is>
      </c>
      <c r="E31" s="7" t="inlineStr">
        <is>
          <t>⬜ 二期</t>
        </is>
      </c>
      <c r="F31" s="3" t="inlineStr">
        <is>
          <t>2–4 周</t>
        </is>
      </c>
      <c r="G31" s="5" t="inlineStr">
        <is>
          <t>🟡 中</t>
        </is>
      </c>
      <c r="H31" s="3" t="inlineStr">
        <is>
          <t>费率</t>
        </is>
      </c>
      <c r="I31" s="6" t="inlineStr">
        <is>
          <t>https://moyasar.com</t>
        </is>
      </c>
      <c r="J31" s="3" t="inlineStr">
        <is>
          <t>未开始</t>
        </is>
      </c>
      <c r="K31" s="3" t="inlineStr"/>
      <c r="L31" s="3" t="inlineStr">
        <is>
          <t>支持 mada / Apple Pay</t>
        </is>
      </c>
    </row>
    <row r="32">
      <c r="A32" s="11" t="inlineStr">
        <is>
          <t>身份 / 支付</t>
        </is>
      </c>
      <c r="B32" s="3" t="inlineStr">
        <is>
          <t>红人提现(SAR 到银行)</t>
        </is>
      </c>
      <c r="C32" s="3" t="inlineStr">
        <is>
          <t>本地银行 payout + 反洗钱</t>
        </is>
      </c>
      <c r="D32" s="3" t="inlineStr">
        <is>
          <t>—</t>
        </is>
      </c>
      <c r="E32" s="4" t="inlineStr">
        <is>
          <t>✅ MVP</t>
        </is>
      </c>
      <c r="F32" s="3" t="inlineStr">
        <is>
          <t>—</t>
        </is>
      </c>
      <c r="G32" s="5" t="inlineStr">
        <is>
          <t>🟠 难</t>
        </is>
      </c>
      <c r="H32" s="3" t="inlineStr">
        <is>
          <t>费率</t>
        </is>
      </c>
      <c r="I32" s="3" t="inlineStr">
        <is>
          <t>—</t>
        </is>
      </c>
      <c r="J32" s="3" t="inlineStr">
        <is>
          <t>未开始</t>
        </is>
      </c>
      <c r="K32" s="3" t="inlineStr"/>
      <c r="L32" s="3" t="inlineStr">
        <is>
          <t>KYC 通过才放款</t>
        </is>
      </c>
    </row>
    <row r="33">
      <c r="A33" s="12" t="inlineStr">
        <is>
          <t>云 / 基础设施</t>
        </is>
      </c>
      <c r="B33" s="3" t="inlineStr">
        <is>
          <t>计算 + 数据驻留(沙特境内)</t>
        </is>
      </c>
      <c r="C33" s="3" t="inlineStr">
        <is>
          <t>Google Cloud 达曼(Dammam)</t>
        </is>
      </c>
      <c r="D33" s="3" t="inlineStr">
        <is>
          <t>Oracle 利雅得·吉达 / Azure 沙特 / AWS 巴林·UAE</t>
        </is>
      </c>
      <c r="E33" s="4" t="inlineStr">
        <is>
          <t>✅ MVP</t>
        </is>
      </c>
      <c r="F33" s="3" t="inlineStr">
        <is>
          <t>即开</t>
        </is>
      </c>
      <c r="G33" s="5" t="inlineStr">
        <is>
          <t>🟢 易</t>
        </is>
      </c>
      <c r="H33" s="3" t="inlineStr">
        <is>
          <t>按用量</t>
        </is>
      </c>
      <c r="I33" s="6" t="inlineStr">
        <is>
          <t>https://cloud.google.com</t>
        </is>
      </c>
      <c r="J33" s="3" t="inlineStr">
        <is>
          <t>未开始</t>
        </is>
      </c>
      <c r="K33" s="3" t="inlineStr"/>
      <c r="L33" s="3" t="inlineStr">
        <is>
          <t>PDPL 要求个人数据本地化</t>
        </is>
      </c>
    </row>
    <row r="34">
      <c r="A34" s="12" t="inlineStr">
        <is>
          <t>云 / 基础设施</t>
        </is>
      </c>
      <c r="B34" s="3" t="inlineStr">
        <is>
          <t>托管数据库</t>
        </is>
      </c>
      <c r="C34" s="3" t="inlineStr">
        <is>
          <t>Cloud SQL / RDS (PostgreSQL)</t>
        </is>
      </c>
      <c r="D34" s="3" t="inlineStr">
        <is>
          <t>—</t>
        </is>
      </c>
      <c r="E34" s="4" t="inlineStr">
        <is>
          <t>✅ MVP</t>
        </is>
      </c>
      <c r="F34" s="3" t="inlineStr">
        <is>
          <t>即开</t>
        </is>
      </c>
      <c r="G34" s="5" t="inlineStr">
        <is>
          <t>🟢 易</t>
        </is>
      </c>
      <c r="H34" s="3" t="inlineStr">
        <is>
          <t>按用量</t>
        </is>
      </c>
      <c r="I34" s="3" t="inlineStr">
        <is>
          <t>—</t>
        </is>
      </c>
      <c r="J34" s="3" t="inlineStr">
        <is>
          <t>未开始</t>
        </is>
      </c>
      <c r="K34" s="3" t="inlineStr"/>
      <c r="L34" s="3" t="inlineStr">
        <is>
          <t>替换 Demo 的 SQLite</t>
        </is>
      </c>
    </row>
    <row r="35">
      <c r="A35" s="12" t="inlineStr">
        <is>
          <t>云 / 基础设施</t>
        </is>
      </c>
      <c r="B35" s="3" t="inlineStr">
        <is>
          <t>队列 + 缓存</t>
        </is>
      </c>
      <c r="C35" s="3" t="inlineStr">
        <is>
          <t>Cloud Tasks / SQS + Redis</t>
        </is>
      </c>
      <c r="D35" s="3" t="inlineStr">
        <is>
          <t>—</t>
        </is>
      </c>
      <c r="E35" s="4" t="inlineStr">
        <is>
          <t>✅ MVP</t>
        </is>
      </c>
      <c r="F35" s="3" t="inlineStr">
        <is>
          <t>即开</t>
        </is>
      </c>
      <c r="G35" s="5" t="inlineStr">
        <is>
          <t>🟢 易</t>
        </is>
      </c>
      <c r="H35" s="3" t="inlineStr">
        <is>
          <t>按用量</t>
        </is>
      </c>
      <c r="I35" s="3" t="inlineStr">
        <is>
          <t>—</t>
        </is>
      </c>
      <c r="J35" s="3" t="inlineStr">
        <is>
          <t>未开始</t>
        </is>
      </c>
      <c r="K35" s="3" t="inlineStr"/>
      <c r="L35" s="3" t="inlineStr">
        <is>
          <t>视频生成异步长任务必须排队</t>
        </is>
      </c>
    </row>
    <row r="36">
      <c r="A36" s="12" t="inlineStr">
        <is>
          <t>云 / 基础设施</t>
        </is>
      </c>
      <c r="B36" s="3" t="inlineStr">
        <is>
          <t>对象存储 + CDN</t>
        </is>
      </c>
      <c r="C36" s="3" t="inlineStr">
        <is>
          <t>GCS / S3 + Cloudflare / CloudFront</t>
        </is>
      </c>
      <c r="D36" s="3" t="inlineStr">
        <is>
          <t>—</t>
        </is>
      </c>
      <c r="E36" s="4" t="inlineStr">
        <is>
          <t>✅ MVP</t>
        </is>
      </c>
      <c r="F36" s="3" t="inlineStr">
        <is>
          <t>即开</t>
        </is>
      </c>
      <c r="G36" s="5" t="inlineStr">
        <is>
          <t>🟢 易</t>
        </is>
      </c>
      <c r="H36" s="3" t="inlineStr">
        <is>
          <t>按用量</t>
        </is>
      </c>
      <c r="I36" s="3" t="inlineStr">
        <is>
          <t>—</t>
        </is>
      </c>
      <c r="J36" s="3" t="inlineStr">
        <is>
          <t>未开始</t>
        </is>
      </c>
      <c r="K36" s="3" t="inlineStr"/>
      <c r="L36" s="3" t="inlineStr">
        <is>
          <t>存视频 / 缩略图</t>
        </is>
      </c>
    </row>
    <row r="37">
      <c r="A37" s="12" t="inlineStr">
        <is>
          <t>云 / 基础设施</t>
        </is>
      </c>
      <c r="B37" s="3" t="inlineStr">
        <is>
          <t>视频转码 / 分发</t>
        </is>
      </c>
      <c r="C37" s="3" t="inlineStr">
        <is>
          <t>Mux</t>
        </is>
      </c>
      <c r="D37" s="3" t="inlineStr">
        <is>
          <t>云媒体服务</t>
        </is>
      </c>
      <c r="E37" s="7" t="inlineStr">
        <is>
          <t>⬜ 二期</t>
        </is>
      </c>
      <c r="F37" s="3" t="inlineStr">
        <is>
          <t>即开</t>
        </is>
      </c>
      <c r="G37" s="5" t="inlineStr">
        <is>
          <t>🟡 中</t>
        </is>
      </c>
      <c r="H37" s="3" t="inlineStr">
        <is>
          <t>按分钟</t>
        </is>
      </c>
      <c r="I37" s="6" t="inlineStr">
        <is>
          <t>https://mux.com</t>
        </is>
      </c>
      <c r="J37" s="3" t="inlineStr">
        <is>
          <t>未开始</t>
        </is>
      </c>
      <c r="K37" s="3" t="inlineStr"/>
      <c r="L37" s="3" t="inlineStr">
        <is>
          <t>多分辨率 / HLS</t>
        </is>
      </c>
    </row>
    <row r="38">
      <c r="A38" s="12" t="inlineStr">
        <is>
          <t>云 / 基础设施</t>
        </is>
      </c>
      <c r="B38" s="3" t="inlineStr">
        <is>
          <t>错误监控</t>
        </is>
      </c>
      <c r="C38" s="3" t="inlineStr">
        <is>
          <t>Sentry</t>
        </is>
      </c>
      <c r="D38" s="3" t="inlineStr">
        <is>
          <t>—</t>
        </is>
      </c>
      <c r="E38" s="4" t="inlineStr">
        <is>
          <t>✅ MVP</t>
        </is>
      </c>
      <c r="F38" s="3" t="inlineStr">
        <is>
          <t>即开</t>
        </is>
      </c>
      <c r="G38" s="5" t="inlineStr">
        <is>
          <t>🟢 易</t>
        </is>
      </c>
      <c r="H38" s="3" t="inlineStr">
        <is>
          <t>免费档起</t>
        </is>
      </c>
      <c r="I38" s="6" t="inlineStr">
        <is>
          <t>https://sentry.io</t>
        </is>
      </c>
      <c r="J38" s="3" t="inlineStr">
        <is>
          <t>未开始</t>
        </is>
      </c>
      <c r="K38" s="3" t="inlineStr"/>
      <c r="L38" s="3" t="inlineStr"/>
    </row>
    <row r="39">
      <c r="A39" s="12" t="inlineStr">
        <is>
          <t>云 / 基础设施</t>
        </is>
      </c>
      <c r="B39" s="3" t="inlineStr">
        <is>
          <t>产品分析</t>
        </is>
      </c>
      <c r="C39" s="3" t="inlineStr">
        <is>
          <t>Amplitude</t>
        </is>
      </c>
      <c r="D39" s="3" t="inlineStr">
        <is>
          <t>Mixpanel / GA4</t>
        </is>
      </c>
      <c r="E39" s="4" t="inlineStr">
        <is>
          <t>✅ MVP</t>
        </is>
      </c>
      <c r="F39" s="3" t="inlineStr">
        <is>
          <t>即开</t>
        </is>
      </c>
      <c r="G39" s="5" t="inlineStr">
        <is>
          <t>🟢 易</t>
        </is>
      </c>
      <c r="H39" s="3" t="inlineStr">
        <is>
          <t>免费档起</t>
        </is>
      </c>
      <c r="I39" s="6" t="inlineStr">
        <is>
          <t>https://amplitude.com</t>
        </is>
      </c>
      <c r="J39" s="3" t="inlineStr">
        <is>
          <t>未开始</t>
        </is>
      </c>
      <c r="K39" s="3" t="inlineStr"/>
      <c r="L39" s="3" t="inlineStr"/>
    </row>
    <row r="40">
      <c r="A40" s="13" t="inlineStr">
        <is>
          <t>合规 / 法务</t>
        </is>
      </c>
      <c r="B40" s="3" t="inlineStr">
        <is>
          <t>公司主体</t>
        </is>
      </c>
      <c r="C40" s="3" t="inlineStr">
        <is>
          <t>商业登记 CR(商务部)</t>
        </is>
      </c>
      <c r="D40" s="3" t="inlineStr">
        <is>
          <t>外资加 MISA 许可</t>
        </is>
      </c>
      <c r="E40" s="4" t="inlineStr">
        <is>
          <t>✅ MVP</t>
        </is>
      </c>
      <c r="F40" s="3" t="inlineStr">
        <is>
          <t>数周–月</t>
        </is>
      </c>
      <c r="G40" s="5" t="inlineStr">
        <is>
          <t>🟠 难</t>
        </is>
      </c>
      <c r="H40" s="3" t="inlineStr">
        <is>
          <t>政府费</t>
        </is>
      </c>
      <c r="I40" s="6" t="inlineStr">
        <is>
          <t>https://mc.gov.sa</t>
        </is>
      </c>
      <c r="J40" s="3" t="inlineStr">
        <is>
          <t>未开始</t>
        </is>
      </c>
      <c r="K40" s="3" t="inlineStr"/>
      <c r="L40" s="3" t="inlineStr">
        <is>
          <t>几乎所有支付/短信/联盟都要它</t>
        </is>
      </c>
    </row>
    <row r="41">
      <c r="A41" s="13" t="inlineStr">
        <is>
          <t>合规 / 法务</t>
        </is>
      </c>
      <c r="B41" s="3" t="inlineStr">
        <is>
          <t>数据保护</t>
        </is>
      </c>
      <c r="C41" s="3" t="inlineStr">
        <is>
          <t>PDPL 合规 + 设 DPO</t>
        </is>
      </c>
      <c r="D41" s="3" t="inlineStr">
        <is>
          <t>—</t>
        </is>
      </c>
      <c r="E41" s="4" t="inlineStr">
        <is>
          <t>✅ MVP</t>
        </is>
      </c>
      <c r="F41" s="3" t="inlineStr">
        <is>
          <t>持续</t>
        </is>
      </c>
      <c r="G41" s="5" t="inlineStr">
        <is>
          <t>🟠 难</t>
        </is>
      </c>
      <c r="H41" s="3" t="inlineStr">
        <is>
          <t>法务费</t>
        </is>
      </c>
      <c r="I41" s="6" t="inlineStr">
        <is>
          <t>https://sdaia.gov.sa</t>
        </is>
      </c>
      <c r="J41" s="3" t="inlineStr">
        <is>
          <t>未开始</t>
        </is>
      </c>
      <c r="K41" s="3" t="inlineStr"/>
      <c r="L41" s="3" t="inlineStr">
        <is>
          <t>本地化/跨境/同意/删除流程</t>
        </is>
      </c>
    </row>
    <row r="42">
      <c r="A42" s="13" t="inlineStr">
        <is>
          <t>合规 / 法务</t>
        </is>
      </c>
      <c r="B42" s="3" t="inlineStr">
        <is>
          <t>付费广告许可</t>
        </is>
      </c>
      <c r="C42" s="3" t="inlineStr">
        <is>
          <t>GCAM 广告许可(توثيق)</t>
        </is>
      </c>
      <c r="D42" s="3" t="inlineStr">
        <is>
          <t>—</t>
        </is>
      </c>
      <c r="E42" s="4" t="inlineStr">
        <is>
          <t>✅ MVP</t>
        </is>
      </c>
      <c r="F42" s="3" t="inlineStr">
        <is>
          <t>数周</t>
        </is>
      </c>
      <c r="G42" s="5" t="inlineStr">
        <is>
          <t>🟡 中</t>
        </is>
      </c>
      <c r="H42" s="3" t="inlineStr">
        <is>
          <t>政府费</t>
        </is>
      </c>
      <c r="I42" s="6" t="inlineStr">
        <is>
          <t>https://gcam.gov.sa</t>
        </is>
      </c>
      <c r="J42" s="3" t="inlineStr">
        <is>
          <t>未开始</t>
        </is>
      </c>
      <c r="K42" s="3" t="inlineStr"/>
      <c r="L42" s="3" t="inlineStr">
        <is>
          <t>沙特有偿广告内容红人需许可</t>
        </is>
      </c>
    </row>
    <row r="43">
      <c r="A43" s="13" t="inlineStr">
        <is>
          <t>合规 / 法务</t>
        </is>
      </c>
      <c r="B43" s="3" t="inlineStr">
        <is>
          <t>AI 生成内容标注</t>
        </is>
      </c>
      <c r="C43" s="3" t="inlineStr">
        <is>
          <t>平台 + 监管合规标注</t>
        </is>
      </c>
      <c r="D43" s="3" t="inlineStr">
        <is>
          <t>—</t>
        </is>
      </c>
      <c r="E43" s="4" t="inlineStr">
        <is>
          <t>✅ MVP</t>
        </is>
      </c>
      <c r="F43" s="3" t="inlineStr">
        <is>
          <t>—</t>
        </is>
      </c>
      <c r="G43" s="5" t="inlineStr">
        <is>
          <t>🟡 中</t>
        </is>
      </c>
      <c r="H43" s="3" t="inlineStr">
        <is>
          <t>低</t>
        </is>
      </c>
      <c r="I43" s="3" t="inlineStr">
        <is>
          <t>—</t>
        </is>
      </c>
      <c r="J43" s="3" t="inlineStr">
        <is>
          <t>未开始</t>
        </is>
      </c>
      <c r="K43" s="3" t="inlineStr"/>
      <c r="L43" s="3" t="inlineStr">
        <is>
          <t>与 C2PA 水印配套</t>
        </is>
      </c>
    </row>
    <row r="44">
      <c r="A44" s="13" t="inlineStr">
        <is>
          <t>合规 / 法务</t>
        </is>
      </c>
      <c r="B44" s="3" t="inlineStr">
        <is>
          <t>法律文本</t>
        </is>
      </c>
      <c r="C44" s="3" t="inlineStr">
        <is>
          <t>用户/红人/商家协议 + 隐私政策</t>
        </is>
      </c>
      <c r="D44" s="3" t="inlineStr">
        <is>
          <t>—</t>
        </is>
      </c>
      <c r="E44" s="4" t="inlineStr">
        <is>
          <t>✅ MVP</t>
        </is>
      </c>
      <c r="F44" s="3" t="inlineStr">
        <is>
          <t>—</t>
        </is>
      </c>
      <c r="G44" s="5" t="inlineStr">
        <is>
          <t>🟡 中</t>
        </is>
      </c>
      <c r="H44" s="3" t="inlineStr">
        <is>
          <t>法务费</t>
        </is>
      </c>
      <c r="I44" s="3" t="inlineStr">
        <is>
          <t>—</t>
        </is>
      </c>
      <c r="J44" s="3" t="inlineStr">
        <is>
          <t>未开始</t>
        </is>
      </c>
      <c r="K44" s="3" t="inlineStr"/>
      <c r="L44" s="3" t="inlineStr">
        <is>
          <t>肖像授权 e-sign 存证</t>
        </is>
      </c>
    </row>
    <row r="45">
      <c r="A45" s="14" t="inlineStr">
        <is>
          <t>辅助 SaaS</t>
        </is>
      </c>
      <c r="B45" s="3" t="inlineStr">
        <is>
          <t>事务邮件</t>
        </is>
      </c>
      <c r="C45" s="3" t="inlineStr">
        <is>
          <t>Amazon SES</t>
        </is>
      </c>
      <c r="D45" s="3" t="inlineStr">
        <is>
          <t>SendGrid / Postmark</t>
        </is>
      </c>
      <c r="E45" s="7" t="inlineStr">
        <is>
          <t>⬜ 二期</t>
        </is>
      </c>
      <c r="F45" s="3" t="inlineStr">
        <is>
          <t>即开</t>
        </is>
      </c>
      <c r="G45" s="5" t="inlineStr">
        <is>
          <t>🟢 易</t>
        </is>
      </c>
      <c r="H45" s="3" t="inlineStr">
        <is>
          <t>按量</t>
        </is>
      </c>
      <c r="I45" s="6" t="inlineStr">
        <is>
          <t>https://aws.amazon.com/ses</t>
        </is>
      </c>
      <c r="J45" s="3" t="inlineStr">
        <is>
          <t>未开始</t>
        </is>
      </c>
      <c r="K45" s="3" t="inlineStr"/>
      <c r="L45" s="3" t="inlineStr"/>
    </row>
    <row r="46">
      <c r="A46" s="14" t="inlineStr">
        <is>
          <t>辅助 SaaS</t>
        </is>
      </c>
      <c r="B46" s="3" t="inlineStr">
        <is>
          <t>推送通知</t>
        </is>
      </c>
      <c r="C46" s="3" t="inlineStr">
        <is>
          <t>FCM + APNs</t>
        </is>
      </c>
      <c r="D46" s="3" t="inlineStr">
        <is>
          <t>—</t>
        </is>
      </c>
      <c r="E46" s="7" t="inlineStr">
        <is>
          <t>⬜ 二期</t>
        </is>
      </c>
      <c r="F46" s="3" t="inlineStr">
        <is>
          <t>即开</t>
        </is>
      </c>
      <c r="G46" s="5" t="inlineStr">
        <is>
          <t>🟢 易</t>
        </is>
      </c>
      <c r="H46" s="3" t="inlineStr">
        <is>
          <t>免费</t>
        </is>
      </c>
      <c r="I46" s="6" t="inlineStr">
        <is>
          <t>https://firebase.google.com</t>
        </is>
      </c>
      <c r="J46" s="3" t="inlineStr">
        <is>
          <t>未开始</t>
        </is>
      </c>
      <c r="K46" s="3" t="inlineStr"/>
      <c r="L46" s="3" t="inlineStr">
        <is>
          <t>App 端</t>
        </is>
      </c>
    </row>
    <row r="47">
      <c r="A47" s="14" t="inlineStr">
        <is>
          <t>辅助 SaaS</t>
        </is>
      </c>
      <c r="B47" s="3" t="inlineStr">
        <is>
          <t>客服</t>
        </is>
      </c>
      <c r="C47" s="3" t="inlineStr">
        <is>
          <t>Intercom</t>
        </is>
      </c>
      <c r="D47" s="3" t="inlineStr">
        <is>
          <t>Zendesk</t>
        </is>
      </c>
      <c r="E47" s="7" t="inlineStr">
        <is>
          <t>⬜ 二期</t>
        </is>
      </c>
      <c r="F47" s="3" t="inlineStr">
        <is>
          <t>即开</t>
        </is>
      </c>
      <c r="G47" s="5" t="inlineStr">
        <is>
          <t>🟢 易</t>
        </is>
      </c>
      <c r="H47" s="3" t="inlineStr">
        <is>
          <t>月费</t>
        </is>
      </c>
      <c r="I47" s="6" t="inlineStr">
        <is>
          <t>https://intercom.com</t>
        </is>
      </c>
      <c r="J47" s="3" t="inlineStr">
        <is>
          <t>未开始</t>
        </is>
      </c>
      <c r="K47" s="3" t="inlineStr"/>
      <c r="L47" s="3" t="inlineStr"/>
    </row>
  </sheetData>
  <autoFilter ref="A1:L47"/>
  <dataValidations count="2">
    <dataValidation sqref="J2:J47" showDropDown="0" showInputMessage="0" showErrorMessage="0" allowBlank="1" type="list">
      <formula1>"未开始,进行中,已完成,阻塞,不适用"</formula1>
    </dataValidation>
    <dataValidation sqref="E2:E47" showDropDown="0" showInputMessage="0" showErrorMessage="0" allowBlank="1" type="list">
      <formula1>"✅ MVP,⬜ 二期"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3" r:id="rId31"/>
    <hyperlink xmlns:r="http://schemas.openxmlformats.org/officeDocument/2006/relationships" ref="I37" r:id="rId32"/>
    <hyperlink xmlns:r="http://schemas.openxmlformats.org/officeDocument/2006/relationships" ref="I38" r:id="rId33"/>
    <hyperlink xmlns:r="http://schemas.openxmlformats.org/officeDocument/2006/relationships" ref="I39" r:id="rId34"/>
    <hyperlink xmlns:r="http://schemas.openxmlformats.org/officeDocument/2006/relationships" ref="I40" r:id="rId35"/>
    <hyperlink xmlns:r="http://schemas.openxmlformats.org/officeDocument/2006/relationships" ref="I41" r:id="rId36"/>
    <hyperlink xmlns:r="http://schemas.openxmlformats.org/officeDocument/2006/relationships" ref="I42" r:id="rId37"/>
    <hyperlink xmlns:r="http://schemas.openxmlformats.org/officeDocument/2006/relationships" ref="I45" r:id="rId38"/>
    <hyperlink xmlns:r="http://schemas.openxmlformats.org/officeDocument/2006/relationships" ref="I46" r:id="rId39"/>
    <hyperlink xmlns:r="http://schemas.openxmlformats.org/officeDocument/2006/relationships" ref="I47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5" t="inlineStr">
        <is>
          <t>DeiNai 2.0 · 采购进度概览</t>
        </is>
      </c>
    </row>
    <row r="3">
      <c r="A3" s="16" t="inlineStr">
        <is>
          <t>总条目</t>
        </is>
      </c>
      <c r="B3" s="17">
        <f>COUNTA(采购总表!B2:B47)</f>
        <v/>
      </c>
    </row>
    <row r="4">
      <c r="A4" s="16" t="inlineStr">
        <is>
          <t>MVP 必需</t>
        </is>
      </c>
      <c r="B4" s="17">
        <f>COUNTIF(采购总表!E2:E47,"✅*")</f>
        <v/>
      </c>
    </row>
    <row r="5">
      <c r="A5" s="16" t="inlineStr">
        <is>
          <t>二期</t>
        </is>
      </c>
      <c r="B5" s="17">
        <f>COUNTIF(采购总表!E2:E47,"⬜*")</f>
        <v/>
      </c>
    </row>
    <row r="6">
      <c r="A6" s="16" t="inlineStr">
        <is>
          <t>未开始</t>
        </is>
      </c>
      <c r="B6" s="17">
        <f>COUNTIF(采购总表!J2:J47,"未开始")</f>
        <v/>
      </c>
    </row>
    <row r="7">
      <c r="A7" s="16" t="inlineStr">
        <is>
          <t>进行中</t>
        </is>
      </c>
      <c r="B7" s="17">
        <f>COUNTIF(采购总表!J2:J47,"进行中")</f>
        <v/>
      </c>
    </row>
    <row r="8">
      <c r="A8" s="16" t="inlineStr">
        <is>
          <t>已完成</t>
        </is>
      </c>
      <c r="B8" s="17">
        <f>COUNTIF(采购总表!J2:J47,"已完成")</f>
        <v/>
      </c>
    </row>
    <row r="9">
      <c r="A9" s="16" t="inlineStr">
        <is>
          <t>阻塞</t>
        </is>
      </c>
      <c r="B9" s="17">
        <f>COUNTIF(采购总表!J2:J47,"阻塞")</f>
        <v/>
      </c>
    </row>
    <row r="10">
      <c r="A10" s="18" t="inlineStr">
        <is>
          <t>完成率</t>
        </is>
      </c>
      <c r="B10" s="19">
        <f>IFERROR(B8/B3,0)</f>
        <v/>
      </c>
    </row>
    <row r="12">
      <c r="A12" s="20" t="inlineStr">
        <is>
          <t>按板块条目数</t>
        </is>
      </c>
    </row>
    <row r="13">
      <c r="A13" s="21" t="inlineStr">
        <is>
          <t>电商 / 联盟</t>
        </is>
      </c>
      <c r="B13" s="22">
        <f>COUNTIF(采购总表!A2:A47,"电商 / 联盟")</f>
        <v/>
      </c>
    </row>
    <row r="14">
      <c r="A14" s="23" t="inlineStr">
        <is>
          <t>短信 / 通讯</t>
        </is>
      </c>
      <c r="B14" s="22">
        <f>COUNTIF(采购总表!A2:A47,"短信 / 通讯")</f>
        <v/>
      </c>
    </row>
    <row r="15">
      <c r="A15" s="24" t="inlineStr">
        <is>
          <t>核心 AI</t>
        </is>
      </c>
      <c r="B15" s="22">
        <f>COUNTIF(采购总表!A2:A47,"核心 AI")</f>
        <v/>
      </c>
    </row>
    <row r="16">
      <c r="A16" s="25" t="inlineStr">
        <is>
          <t>社媒发布</t>
        </is>
      </c>
      <c r="B16" s="22">
        <f>COUNTIF(采购总表!A2:A47,"社媒发布")</f>
        <v/>
      </c>
    </row>
    <row r="17">
      <c r="A17" s="26" t="inlineStr">
        <is>
          <t>身份 / 支付</t>
        </is>
      </c>
      <c r="B17" s="22">
        <f>COUNTIF(采购总表!A2:A47,"身份 / 支付")</f>
        <v/>
      </c>
    </row>
    <row r="18">
      <c r="A18" s="27" t="inlineStr">
        <is>
          <t>云 / 基础设施</t>
        </is>
      </c>
      <c r="B18" s="22">
        <f>COUNTIF(采购总表!A2:A47,"云 / 基础设施")</f>
        <v/>
      </c>
    </row>
    <row r="19">
      <c r="A19" s="28" t="inlineStr">
        <is>
          <t>合规 / 法务</t>
        </is>
      </c>
      <c r="B19" s="22">
        <f>COUNTIF(采购总表!A2:A47,"合规 / 法务")</f>
        <v/>
      </c>
    </row>
    <row r="20">
      <c r="A20" s="29" t="inlineStr">
        <is>
          <t>辅助 SaaS</t>
        </is>
      </c>
      <c r="B20" s="22">
        <f>COUNTIF(采购总表!A2:A47,"辅助 SaaS")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0" t="inlineStr">
        <is>
          <t>图例 / 使用说明</t>
        </is>
      </c>
    </row>
    <row r="2">
      <c r="A2" s="31" t="inlineStr"/>
    </row>
    <row r="3">
      <c r="A3" s="31" t="inlineStr">
        <is>
          <t>难度  🟢 易（即开/几天）  🟡 中（需审核/配置）  🟠 难（数周/政府）  🔴 受限（官方 API 不开放或限制大）</t>
        </is>
      </c>
    </row>
    <row r="4">
      <c r="A4" s="31" t="inlineStr">
        <is>
          <t>MVP   ✅ MVP = 一期跑通最小闭环必需   ⬜ 二期 = 规模化再上</t>
        </is>
      </c>
    </row>
    <row r="5">
      <c r="A5" s="31" t="inlineStr">
        <is>
          <t>状态   未开始 / 进行中 / 已完成 / 阻塞 / 不适用（J 列下拉,自动汇总到「进度概览」）</t>
        </is>
      </c>
    </row>
    <row r="6">
      <c r="A6" s="31" t="inlineStr"/>
    </row>
    <row r="7">
      <c r="A7" s="32" t="inlineStr">
        <is>
          <t>MVP 一期建议路线:</t>
        </is>
      </c>
    </row>
    <row r="8">
      <c r="A8" s="31" t="inlineStr">
        <is>
          <t>1) 数字人 API(HeyGen/Tavus)生成本人口播  →  核心</t>
        </is>
      </c>
    </row>
    <row r="9">
      <c r="A9" s="31" t="inlineStr">
        <is>
          <t>2) 真短信 OTP(Unifonic) + Nafath KYC</t>
        </is>
      </c>
    </row>
    <row r="10">
      <c r="A10" s="31" t="inlineStr">
        <is>
          <t>3) 发布先做稳的:Telegram 直发 + '生成成品 + Smart Link/二维码 + 引导手动发' 到 TikTok/IG/Snapchat</t>
        </is>
      </c>
    </row>
    <row r="11">
      <c r="A11" s="31" t="inlineStr">
        <is>
          <t>4) 商品来自 Boostiny(覆盖 Noon/Namshi) + Amazon.sa,Smart Link 落地页归因 + 人工对账</t>
        </is>
      </c>
    </row>
    <row r="12">
      <c r="A12" s="31" t="inlineStr">
        <is>
          <t>5) 沙特境内云 + 托管 Postgres + Sentry</t>
        </is>
      </c>
    </row>
    <row r="13">
      <c r="A13" s="31" t="inlineStr">
        <is>
          <t>6) 合规最低集:CR 公司 / PDPL 同意与删除 / AI 生成标注</t>
        </is>
      </c>
    </row>
    <row r="14">
      <c r="A14" s="31" t="inlineStr"/>
    </row>
    <row r="15">
      <c r="A15" s="32" t="inlineStr">
        <is>
          <t>「今天就去启动」的长周期事项(并行,别串行等):</t>
        </is>
      </c>
    </row>
    <row r="16">
      <c r="A16" s="31" t="inlineStr">
        <is>
          <t>· TikTok / Meta / YouTube 开发者 + 应用审核(数周起)</t>
        </is>
      </c>
    </row>
    <row r="17">
      <c r="A17" s="31" t="inlineStr">
        <is>
          <t>· 公司 CR(外资加 MISA)——支付/短信/联盟的前置</t>
        </is>
      </c>
    </row>
    <row r="18">
      <c r="A18" s="31" t="inlineStr">
        <is>
          <t>· GCAM 广告许可、PDPL 合规启动</t>
        </is>
      </c>
    </row>
    <row r="19">
      <c r="A19" s="31" t="inlineStr">
        <is>
          <t>· Unifonic Sender ID(CST 注册)</t>
        </is>
      </c>
    </row>
    <row r="20">
      <c r="A20" s="31" t="inlineStr">
        <is>
          <t>· 数字人视频 API 商务签约</t>
        </is>
      </c>
    </row>
    <row r="21">
      <c r="A21" s="31" t="inlineStr"/>
    </row>
    <row r="22">
      <c r="A22" s="31" t="inlineStr">
        <is>
          <t>⚠️ 现实校验:WhatsApp Status / Snapchat Spotlight 无自动发布 API;TikTok/IG/YouTube 直发需过审——按'引导手动发'兜底。</t>
        </is>
      </c>
    </row>
    <row r="23">
      <c r="A23" s="31" t="inlineStr">
        <is>
          <t>注:成本/周期为大致区间,以各供应商最新官网与商务报价为准。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2026-06-27T16:01:27Z</dcterms:created>
  <dcterms:modified xmlns:dcterms="http://purl.org/dc/terms/" xmlns:xsi="http://www.w3.org/2001/XMLSchema-instance" xsi:type="dcterms:W3CDTF">2026-06-27T16:01:27Z</dcterms:modified>
</cp:coreProperties>
</file>